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02938a39b0b11d6/Desktop/Uni/1 Semester/Business Forecasting/Notes ^0 Codes/Own Notes/"/>
    </mc:Choice>
  </mc:AlternateContent>
  <xr:revisionPtr revIDLastSave="0" documentId="8_{C9194C01-CE0B-4CA4-8067-C1A86840771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taset" sheetId="2" r:id="rId1"/>
    <sheet name="Solu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7" i="1"/>
  <c r="D7" i="1" s="1"/>
  <c r="D8" i="1"/>
  <c r="D9" i="1"/>
  <c r="C8" i="1"/>
  <c r="C9" i="1"/>
  <c r="C10" i="1"/>
  <c r="B14" i="1" l="1" a="1"/>
  <c r="B14" i="1" s="1"/>
  <c r="B13" i="1" a="1"/>
  <c r="B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tc={A6A595AD-964B-4B27-97F7-F7036B25C01E}</author>
    <author>tc={90AC01E2-1069-4367-B444-3297E9E0AF9F}</author>
  </authors>
  <commentList>
    <comment ref="C10" authorId="0" shapeId="0" xr:uid="{A6A595AD-964B-4B27-97F7-F7036B25C01E}">
      <text>
        <t>[Threaded comment]
Your version of Excel allows you to read this threaded comment; however, any edits to it will get removed if the file is opened in a newer version of Excel. Learn more: https://go.microsoft.com/fwlink/?linkid=870924
Comment:
    MA(5) forecasted value for period 9</t>
      </text>
    </comment>
    <comment ref="C11" authorId="1" shapeId="0" xr:uid="{90AC01E2-1069-4367-B444-3297E9E0AF9F}">
      <text>
        <t>[Threaded comment]
Your version of Excel allows you to read this threaded comment; however, any edits to it will get removed if the file is opened in a newer version of Excel. Learn more: https://go.microsoft.com/fwlink/?linkid=870924
Comment:
    forecast for period 10 based on data and the forecasted value for period 9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<sst xmlns="http://schemas.openxmlformats.org/spreadsheetml/2006/main" count="7" uniqueCount="6">
  <si>
    <t>Yt</t>
  </si>
  <si>
    <t>Time period</t>
  </si>
  <si>
    <t>Fit</t>
  </si>
  <si>
    <t>Res</t>
  </si>
  <si>
    <t>MAD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</si>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</sst>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na Petrova" id="{FE9530CF-2586-4034-A7B9-E000D0A2C9D8}" userId="Yana Petrov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0-11-03T18:18:07.37" personId="{FE9530CF-2586-4034-A7B9-E000D0A2C9D8}" id="{A6A595AD-964B-4B27-97F7-F7036B25C01E}">
    <text>MA(5) forecasted value for period 9</text>
  </threadedComment>
  <threadedComment ref="C11" dT="2020-11-03T18:20:11.05" personId="{FE9530CF-2586-4034-A7B9-E000D0A2C9D8}" id="{90AC01E2-1069-4367-B444-3297E9E0AF9F}">
    <text>forecast for period 10 based on data and the forecasted value for period 9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2C71-B739-4548-97B3-318000161144}">
  <dimension ref="A1:A9"/>
  <sheetViews>
    <sheetView workbookViewId="0">
      <selection activeCell="C20" sqref="C20"/>
    </sheetView>
  </sheetViews>
  <sheetFormatPr defaultRowHeight="14.25" x14ac:dyDescent="0.45"/>
  <sheetData>
    <row r="1" spans="1:1" x14ac:dyDescent="0.45">
      <c r="A1" s="3" t="s">
        <v>0</v>
      </c>
    </row>
    <row r="2" spans="1:1" x14ac:dyDescent="0.45">
      <c r="A2">
        <v>200</v>
      </c>
    </row>
    <row r="3" spans="1:1" x14ac:dyDescent="0.45">
      <c r="A3">
        <v>210</v>
      </c>
    </row>
    <row r="4" spans="1:1" x14ac:dyDescent="0.45">
      <c r="A4">
        <v>215</v>
      </c>
    </row>
    <row r="5" spans="1:1" x14ac:dyDescent="0.45">
      <c r="A5">
        <v>216</v>
      </c>
    </row>
    <row r="6" spans="1:1" x14ac:dyDescent="0.45">
      <c r="A6">
        <v>219</v>
      </c>
    </row>
    <row r="7" spans="1:1" x14ac:dyDescent="0.45">
      <c r="A7">
        <v>220</v>
      </c>
    </row>
    <row r="8" spans="1:1" x14ac:dyDescent="0.45">
      <c r="A8">
        <v>225</v>
      </c>
    </row>
    <row r="9" spans="1:1" x14ac:dyDescent="0.45">
      <c r="A9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14" sqref="B14"/>
    </sheetView>
  </sheetViews>
  <sheetFormatPr defaultRowHeight="14.25" x14ac:dyDescent="0.45"/>
  <cols>
    <col min="1" max="1" width="11.1328125" style="1" customWidth="1"/>
    <col min="2" max="16384" width="9.06640625" style="1"/>
  </cols>
  <sheetData>
    <row r="1" spans="1:4" x14ac:dyDescent="0.4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45">
      <c r="A2" s="1">
        <v>1</v>
      </c>
      <c r="B2" s="1">
        <v>200</v>
      </c>
    </row>
    <row r="3" spans="1:4" x14ac:dyDescent="0.45">
      <c r="A3" s="1">
        <v>2</v>
      </c>
      <c r="B3" s="1">
        <v>210</v>
      </c>
    </row>
    <row r="4" spans="1:4" x14ac:dyDescent="0.45">
      <c r="A4" s="1">
        <v>3</v>
      </c>
      <c r="B4" s="1">
        <v>215</v>
      </c>
    </row>
    <row r="5" spans="1:4" x14ac:dyDescent="0.45">
      <c r="A5" s="1">
        <v>4</v>
      </c>
      <c r="B5" s="1">
        <v>216</v>
      </c>
    </row>
    <row r="6" spans="1:4" x14ac:dyDescent="0.45">
      <c r="A6" s="1">
        <v>5</v>
      </c>
      <c r="B6" s="1">
        <v>219</v>
      </c>
    </row>
    <row r="7" spans="1:4" x14ac:dyDescent="0.45">
      <c r="A7" s="1">
        <v>6</v>
      </c>
      <c r="B7" s="1">
        <v>220</v>
      </c>
      <c r="C7" s="1">
        <f>AVERAGE(B2:B6)</f>
        <v>212</v>
      </c>
      <c r="D7" s="1">
        <f>B7-C7</f>
        <v>8</v>
      </c>
    </row>
    <row r="8" spans="1:4" x14ac:dyDescent="0.45">
      <c r="A8" s="1">
        <v>7</v>
      </c>
      <c r="B8" s="1">
        <v>225</v>
      </c>
      <c r="C8" s="1">
        <f t="shared" ref="C8:C10" si="0">AVERAGE(B3:B7)</f>
        <v>216</v>
      </c>
      <c r="D8" s="1">
        <f t="shared" ref="D8:D9" si="1">B8-C8</f>
        <v>9</v>
      </c>
    </row>
    <row r="9" spans="1:4" x14ac:dyDescent="0.45">
      <c r="A9" s="1">
        <v>8</v>
      </c>
      <c r="B9" s="1">
        <v>226</v>
      </c>
      <c r="C9" s="1">
        <f t="shared" si="0"/>
        <v>219</v>
      </c>
      <c r="D9" s="1">
        <f t="shared" si="1"/>
        <v>7</v>
      </c>
    </row>
    <row r="10" spans="1:4" x14ac:dyDescent="0.45">
      <c r="A10" s="1">
        <v>9</v>
      </c>
      <c r="C10" s="2">
        <f t="shared" si="0"/>
        <v>221.2</v>
      </c>
    </row>
    <row r="11" spans="1:4" x14ac:dyDescent="0.45">
      <c r="A11" s="1">
        <v>10</v>
      </c>
      <c r="C11" s="1">
        <f>AVERAGE(B6:B9,C10)</f>
        <v>222.24</v>
      </c>
    </row>
    <row r="13" spans="1:4" x14ac:dyDescent="0.45">
      <c r="A13" s="1" t="s">
        <v>4</v>
      </c>
      <c r="B13" s="1" cm="1">
        <f t="array" ref="B13">SUM(ABS(D7:D9))/3</f>
        <v>8</v>
      </c>
    </row>
    <row r="14" spans="1:4" x14ac:dyDescent="0.45">
      <c r="A14" s="1" t="s">
        <v>5</v>
      </c>
      <c r="B14" s="1" cm="1">
        <f t="array" ref="B14">SUM((D7:D9)^2)/3</f>
        <v>64.666666666666671</v>
      </c>
    </row>
  </sheetData>
  <pageMargins left="0.7" right="0.7" top="0.75" bottom="0.75" header="0.3" footer="0.3"/>
  <ignoredErrors>
    <ignoredError sqref="C7 C8:C11" formulaRange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Solution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Emre Ergemen</dc:creator>
  <cp:lastModifiedBy>Dino Karagic</cp:lastModifiedBy>
  <dcterms:created xsi:type="dcterms:W3CDTF">2017-09-15T09:31:09Z</dcterms:created>
  <dcterms:modified xsi:type="dcterms:W3CDTF">2025-11-03T20:00:27Z</dcterms:modified>
</cp:coreProperties>
</file>